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stephenlong-ledpcbs\Design-Files\LED_PCB_v1.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10" i="1" l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<sst xmlns="http://schemas.openxmlformats.org/spreadsheetml/2006/main" count="64" uniqueCount="53">
  <si>
    <t>#</t>
  </si>
  <si>
    <t>Item Type</t>
  </si>
  <si>
    <t>Capacitors</t>
  </si>
  <si>
    <t>Headers and Wire Housings</t>
  </si>
  <si>
    <t>Resistors</t>
  </si>
  <si>
    <t>Resistor</t>
  </si>
  <si>
    <t>IC</t>
  </si>
  <si>
    <t>Designator</t>
  </si>
  <si>
    <t>C1, C2, C3, C4</t>
  </si>
  <si>
    <t>J1</t>
  </si>
  <si>
    <t>LED1, LED2, LED3, LED4, LED5, LED6, LED7, LED8, LED9, LED10, LED11, LED12</t>
  </si>
  <si>
    <t>R1, R2, R11, R12</t>
  </si>
  <si>
    <t>R3, R4, R13</t>
  </si>
  <si>
    <t>R5, R7, R9, R10, R14, R16, R18, R19</t>
  </si>
  <si>
    <t>R6, R8, R15, R17</t>
  </si>
  <si>
    <t>U1, U2, U3, U4</t>
  </si>
  <si>
    <t>Description</t>
  </si>
  <si>
    <t>CAP CER 0.1UF 50V X7R 0603</t>
  </si>
  <si>
    <t>CONN HEADER R/A 8POS 3MM</t>
  </si>
  <si>
    <t>-</t>
  </si>
  <si>
    <t>RES 2K OHM 1% 1/4W 1206</t>
  </si>
  <si>
    <t>RES 120 OHM 1% 1/10W 0603</t>
  </si>
  <si>
    <t>RES 499 OHM 1% 1/10W 0603</t>
  </si>
  <si>
    <t>RES 4.3K OHM 1% 1/16W 0402</t>
  </si>
  <si>
    <t>RGBW LED Driver</t>
  </si>
  <si>
    <t>Footprint</t>
  </si>
  <si>
    <t>Cap-0603</t>
  </si>
  <si>
    <t>5050 LED</t>
  </si>
  <si>
    <t>Res-1206</t>
  </si>
  <si>
    <t>Res-0603</t>
  </si>
  <si>
    <t>Res-0402</t>
  </si>
  <si>
    <t>SOP-10</t>
  </si>
  <si>
    <t>Manufacturer Part Number</t>
  </si>
  <si>
    <t>CC0603JRX7R9BB104</t>
  </si>
  <si>
    <t>43045-0800</t>
  </si>
  <si>
    <t>RC1206FR-072KL</t>
  </si>
  <si>
    <t>RC0603FR-07120RL</t>
  </si>
  <si>
    <t>RC0603FR-07499RL</t>
  </si>
  <si>
    <t>RC0402FR-074K3L</t>
  </si>
  <si>
    <t>UCS7604</t>
  </si>
  <si>
    <t>Manufacturer</t>
  </si>
  <si>
    <t>Yageo</t>
  </si>
  <si>
    <t>Molex</t>
  </si>
  <si>
    <t>UCS</t>
  </si>
  <si>
    <t>0.1uF</t>
  </si>
  <si>
    <t>2K</t>
  </si>
  <si>
    <t>120R</t>
  </si>
  <si>
    <t>499R</t>
  </si>
  <si>
    <t>4.3K</t>
  </si>
  <si>
    <t>Quantity</t>
  </si>
  <si>
    <t>Remarks</t>
  </si>
  <si>
    <t>Value</t>
  </si>
  <si>
    <t>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</si>
</sst>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10"/>
  <sheetViews>
    <sheetView tabSelected="1" workbookViewId="0">
      <selection activeCell="C18" sqref="C18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9.28515625" bestFit="1" customWidth="1"/>
    <col min="7" max="7" width="25.28515625" bestFit="1" customWidth="1"/>
    <col min="8" max="8" width="13.28515625" bestFit="1" customWidth="1"/>
    <col min="9" max="9" width="6.140625" bestFit="1" customWidth="1"/>
    <col min="10" max="10" width="8.7109375" bestFit="1" customWidth="1"/>
    <col min="11" max="11" width="8.5703125" bestFit="1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7</v>
      </c>
      <c r="E2" s="6" t="s">
        <v>16</v>
      </c>
      <c r="F2" s="5" t="s">
        <v>25</v>
      </c>
      <c r="G2" s="6" t="s">
        <v>32</v>
      </c>
      <c r="H2" s="5" t="s">
        <v>40</v>
      </c>
      <c r="I2" s="6" t="s">
        <v>51</v>
      </c>
      <c r="J2" s="5" t="s">
        <v>49</v>
      </c>
      <c r="K2" s="5" t="s">
        <v>50</v>
      </c>
    </row>
    <row r="3" spans="1:11" ht="15.75" thickBot="1" x14ac:dyDescent="0.3">
      <c r="A3" s="1"/>
      <c r="B3" s="11">
        <f>ROW(B3) - ROW($B$2)</f>
        <v>1</v>
      </c>
      <c r="C3" s="12" t="s">
        <v>2</v>
      </c>
      <c r="D3" s="7" t="s">
        <v>8</v>
      </c>
      <c r="E3" s="8" t="s">
        <v>17</v>
      </c>
      <c r="F3" s="7" t="s">
        <v>26</v>
      </c>
      <c r="G3" s="8" t="s">
        <v>33</v>
      </c>
      <c r="H3" s="7" t="s">
        <v>41</v>
      </c>
      <c r="I3" s="8" t="s">
        <v>44</v>
      </c>
      <c r="J3" s="7">
        <v>4</v>
      </c>
      <c r="K3" s="7"/>
    </row>
    <row r="4" spans="1:11" ht="26.25" thickBot="1" x14ac:dyDescent="0.3">
      <c r="A4" s="1"/>
      <c r="B4" s="11">
        <f t="shared" ref="B4:B10" si="0">ROW(B4) - ROW($B$2)</f>
        <v>2</v>
      </c>
      <c r="C4" s="13" t="s">
        <v>3</v>
      </c>
      <c r="D4" s="9" t="s">
        <v>9</v>
      </c>
      <c r="E4" s="10" t="s">
        <v>18</v>
      </c>
      <c r="F4" s="9">
        <v>430450800</v>
      </c>
      <c r="G4" s="10" t="s">
        <v>34</v>
      </c>
      <c r="H4" s="9" t="s">
        <v>42</v>
      </c>
      <c r="I4" s="10" t="s">
        <v>19</v>
      </c>
      <c r="J4" s="9">
        <v>1</v>
      </c>
      <c r="K4" s="9"/>
    </row>
    <row r="5" spans="1:11" ht="24.75" thickBot="1" x14ac:dyDescent="0.3">
      <c r="A5" s="1"/>
      <c r="B5" s="11">
        <f>ROW(B5) - ROW($B$2)</f>
        <v>3</v>
      </c>
      <c r="C5" s="12" t="s">
        <v>52</v>
      </c>
      <c r="D5" s="7" t="s">
        <v>10</v>
      </c>
      <c r="E5" s="8" t="s">
        <v>19</v>
      </c>
      <c r="F5" s="7" t="s">
        <v>27</v>
      </c>
      <c r="G5" s="8" t="s">
        <v>27</v>
      </c>
      <c r="H5" s="7" t="s">
        <v>19</v>
      </c>
      <c r="I5" s="8" t="s">
        <v>19</v>
      </c>
      <c r="J5" s="7">
        <v>12</v>
      </c>
      <c r="K5" s="7"/>
    </row>
    <row r="6" spans="1:11" ht="15.75" thickBot="1" x14ac:dyDescent="0.3">
      <c r="A6" s="1"/>
      <c r="B6" s="11">
        <f t="shared" si="0"/>
        <v>4</v>
      </c>
      <c r="C6" s="13" t="s">
        <v>4</v>
      </c>
      <c r="D6" s="9" t="s">
        <v>11</v>
      </c>
      <c r="E6" s="10" t="s">
        <v>20</v>
      </c>
      <c r="F6" s="9" t="s">
        <v>28</v>
      </c>
      <c r="G6" s="10" t="s">
        <v>35</v>
      </c>
      <c r="H6" s="9" t="s">
        <v>41</v>
      </c>
      <c r="I6" s="10" t="s">
        <v>45</v>
      </c>
      <c r="J6" s="9">
        <v>4</v>
      </c>
      <c r="K6" s="9"/>
    </row>
    <row r="7" spans="1:11" ht="15.75" thickBot="1" x14ac:dyDescent="0.3">
      <c r="A7" s="1"/>
      <c r="B7" s="11">
        <f>ROW(B7) - ROW($B$2)</f>
        <v>5</v>
      </c>
      <c r="C7" s="12" t="s">
        <v>5</v>
      </c>
      <c r="D7" s="7" t="s">
        <v>12</v>
      </c>
      <c r="E7" s="8" t="s">
        <v>21</v>
      </c>
      <c r="F7" s="7" t="s">
        <v>29</v>
      </c>
      <c r="G7" s="8" t="s">
        <v>36</v>
      </c>
      <c r="H7" s="7" t="s">
        <v>41</v>
      </c>
      <c r="I7" s="8" t="s">
        <v>46</v>
      </c>
      <c r="J7" s="7">
        <v>3</v>
      </c>
      <c r="K7" s="7"/>
    </row>
    <row r="8" spans="1:11" ht="15.75" thickBot="1" x14ac:dyDescent="0.3">
      <c r="A8" s="1"/>
      <c r="B8" s="11">
        <f t="shared" si="0"/>
        <v>6</v>
      </c>
      <c r="C8" s="13"/>
      <c r="D8" s="9" t="s">
        <v>13</v>
      </c>
      <c r="E8" s="10" t="s">
        <v>22</v>
      </c>
      <c r="F8" s="9" t="s">
        <v>29</v>
      </c>
      <c r="G8" s="10" t="s">
        <v>37</v>
      </c>
      <c r="H8" s="9" t="s">
        <v>41</v>
      </c>
      <c r="I8" s="10" t="s">
        <v>47</v>
      </c>
      <c r="J8" s="9">
        <v>8</v>
      </c>
      <c r="K8" s="9"/>
    </row>
    <row r="9" spans="1:11" ht="15.75" thickBot="1" x14ac:dyDescent="0.3">
      <c r="A9" s="1"/>
      <c r="B9" s="11">
        <f>ROW(B9) - ROW($B$2)</f>
        <v>7</v>
      </c>
      <c r="C9" s="12" t="s">
        <v>4</v>
      </c>
      <c r="D9" s="7" t="s">
        <v>14</v>
      </c>
      <c r="E9" s="8" t="s">
        <v>23</v>
      </c>
      <c r="F9" s="7" t="s">
        <v>30</v>
      </c>
      <c r="G9" s="8" t="s">
        <v>38</v>
      </c>
      <c r="H9" s="7" t="s">
        <v>41</v>
      </c>
      <c r="I9" s="8" t="s">
        <v>48</v>
      </c>
      <c r="J9" s="7">
        <v>4</v>
      </c>
      <c r="K9" s="7"/>
    </row>
    <row r="10" spans="1:11" ht="15.75" thickBot="1" x14ac:dyDescent="0.3">
      <c r="A10" s="1"/>
      <c r="B10" s="11">
        <f t="shared" si="0"/>
        <v>8</v>
      </c>
      <c r="C10" s="13" t="s">
        <v>6</v>
      </c>
      <c r="D10" s="9" t="s">
        <v>15</v>
      </c>
      <c r="E10" s="10" t="s">
        <v>24</v>
      </c>
      <c r="F10" s="9" t="s">
        <v>31</v>
      </c>
      <c r="G10" s="10" t="s">
        <v>39</v>
      </c>
      <c r="H10" s="9" t="s">
        <v>43</v>
      </c>
      <c r="I10" s="10" t="s">
        <v>19</v>
      </c>
      <c r="J10" s="9">
        <v>4</v>
      </c>
      <c r="K10" s="9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2025-04-30T15:02:15Z</dcterms:modified>
</cp:coreProperties>
</file>