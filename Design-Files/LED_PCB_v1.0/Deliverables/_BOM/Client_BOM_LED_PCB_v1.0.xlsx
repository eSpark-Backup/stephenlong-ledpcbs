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E:\aSim Data\GitHub\stephenlong-ledpcbs\Design-Files\LED_PCB_v1.0\Deliverables\_BOM\"/>
    </mc:Choice>
  </mc:AlternateContent>
  <xr:revisionPtr revIDLastSave="0" documentId="13_ncr:1_{70C8258F-6A0F-415F-9C93-3F23E60FDDE4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2" i="1" l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<sst xmlns="http://schemas.openxmlformats.org/spreadsheetml/2006/main" count="76" uniqueCount="60">
  <si>
    <t>#</t>
  </si>
  <si>
    <t>Item Type</t>
  </si>
  <si>
    <t>Capacitors</t>
  </si>
  <si>
    <t>Male Header</t>
  </si>
  <si>
    <t>Resistors</t>
  </si>
  <si>
    <t>Resistor</t>
  </si>
  <si>
    <t>IC</t>
  </si>
  <si>
    <t>Designator</t>
  </si>
  <si>
    <t>C1, C2, C3, C4</t>
  </si>
  <si>
    <t>J1</t>
  </si>
  <si>
    <t>J2, J3, J4, J5, J6, J7, J8, J9, J10, J11, J12, J13</t>
  </si>
  <si>
    <t>LED1, LED2, LED3, LED4, LED5, LED6, LED7, LED8, LED9, LED10, LED11, LED12</t>
  </si>
  <si>
    <t>R1, R2, R11, R12</t>
  </si>
  <si>
    <t>R3, R4, R13</t>
  </si>
  <si>
    <t>R5, R7, R9, R10, R14, R16, R18, R19</t>
  </si>
  <si>
    <t>R6, R8, R15, R17</t>
  </si>
  <si>
    <t>R20, R21, R22, R23, R24, R25, R26, R27, R28, R29, R30, R31</t>
  </si>
  <si>
    <t>U1, U2, U3, U4</t>
  </si>
  <si>
    <t>Description</t>
  </si>
  <si>
    <t>CAP CER 0.1UF 50V X7R 0603</t>
  </si>
  <si>
    <t>Gold 250V 3A Straight Square Pins 2.5mm 4P 260℃ 6mm -40℃~+105℃ 3mm 2.54mm Plugin Black Brass 1x4P Plugin,P=2.54mm Pin Headers ROHS</t>
  </si>
  <si>
    <t>Gold 250V 3A Straight Square Pins 2.5mm 3P 260℃ 6mm -40℃~+105℃ 3mm 2.54mm Plugin Black Brass 1x3P Plugin,P=2.54mm Pin Headers ROHS</t>
  </si>
  <si>
    <t>-</t>
  </si>
  <si>
    <t>RES 2K OHM 1% 1/4W 1206</t>
  </si>
  <si>
    <t>RES 120 OHM 1% 1/10W 0603</t>
  </si>
  <si>
    <t>RES 499 OHM 1% 1/10W 0603</t>
  </si>
  <si>
    <t>RES 4.3K OHM 1% 1/16W 0402</t>
  </si>
  <si>
    <t>RES SMD 680 OHM 1% 1/10W 0603</t>
  </si>
  <si>
    <t>RGBW LED Driver</t>
  </si>
  <si>
    <t>Footprint</t>
  </si>
  <si>
    <t>Cap-0603</t>
  </si>
  <si>
    <t>HDR1X4_</t>
  </si>
  <si>
    <t>HDR1X3_</t>
  </si>
  <si>
    <t>5050 LED</t>
  </si>
  <si>
    <t>Res-1206</t>
  </si>
  <si>
    <t>Res-0603</t>
  </si>
  <si>
    <t>Res-0402</t>
  </si>
  <si>
    <t>SOP-10</t>
  </si>
  <si>
    <t>Manufacturer Part Number</t>
  </si>
  <si>
    <t>CC0603JRX7R9BB104</t>
  </si>
  <si>
    <t>X6511WV-04H-C60D30</t>
  </si>
  <si>
    <t>X6511WV-03H-C60D30</t>
  </si>
  <si>
    <t>RC1206FR-072KL</t>
  </si>
  <si>
    <t>RC0603FR-07120RL</t>
  </si>
  <si>
    <t>RC0603FR-07499RL</t>
  </si>
  <si>
    <t>RC0402FR-074K3L</t>
  </si>
  <si>
    <t>RC0603FR-07680RL</t>
  </si>
  <si>
    <t>UCS7604</t>
  </si>
  <si>
    <t>Manufacturer</t>
  </si>
  <si>
    <t>Yageo</t>
  </si>
  <si>
    <t>XKB</t>
  </si>
  <si>
    <t>UCS</t>
  </si>
  <si>
    <t>Comment</t>
  </si>
  <si>
    <t>0.1uF</t>
  </si>
  <si>
    <t>2K</t>
  </si>
  <si>
    <t>120R</t>
  </si>
  <si>
    <t>499R</t>
  </si>
  <si>
    <t>4.3K</t>
  </si>
  <si>
    <t>680R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</si>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</sst>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2"/>
  <sheetViews>
    <sheetView tabSelected="1" workbookViewId="0">
      <selection activeCell="D18" sqref="D18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</cols>
  <sheetData>
    <row r="1" spans="1:10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</row>
    <row r="2" spans="1:10" ht="15.75" thickBot="1" x14ac:dyDescent="0.3">
      <c r="A2" s="1"/>
      <c r="B2" s="5" t="s">
        <v>0</v>
      </c>
      <c r="C2" s="5" t="s">
        <v>1</v>
      </c>
      <c r="D2" s="5" t="s">
        <v>7</v>
      </c>
      <c r="E2" s="6" t="s">
        <v>18</v>
      </c>
      <c r="F2" s="5" t="s">
        <v>29</v>
      </c>
      <c r="G2" s="6" t="s">
        <v>38</v>
      </c>
      <c r="H2" s="5" t="s">
        <v>48</v>
      </c>
      <c r="I2" s="6" t="s">
        <v>52</v>
      </c>
      <c r="J2" s="5" t="s">
        <v>59</v>
      </c>
    </row>
    <row r="3" spans="1:10" ht="15.75" thickBot="1" x14ac:dyDescent="0.3">
      <c r="A3" s="1"/>
      <c r="B3" s="11">
        <f>ROW(B3) - ROW($B$2)</f>
        <v>1</v>
      </c>
      <c r="C3" s="12" t="s">
        <v>2</v>
      </c>
      <c r="D3" s="7" t="s">
        <v>8</v>
      </c>
      <c r="E3" s="8" t="s">
        <v>19</v>
      </c>
      <c r="F3" s="7" t="s">
        <v>30</v>
      </c>
      <c r="G3" s="8" t="s">
        <v>39</v>
      </c>
      <c r="H3" s="7" t="s">
        <v>49</v>
      </c>
      <c r="I3" s="8" t="s">
        <v>53</v>
      </c>
      <c r="J3" s="7">
        <v>4</v>
      </c>
    </row>
    <row r="4" spans="1:10" ht="48.75" thickBot="1" x14ac:dyDescent="0.3">
      <c r="A4" s="1"/>
      <c r="B4" s="11">
        <f t="shared" ref="B4:B12" si="0">ROW(B4) - ROW($B$2)</f>
        <v>2</v>
      </c>
      <c r="C4" s="13" t="s">
        <v>3</v>
      </c>
      <c r="D4" s="9" t="s">
        <v>9</v>
      </c>
      <c r="E4" s="10" t="s">
        <v>20</v>
      </c>
      <c r="F4" s="9" t="s">
        <v>31</v>
      </c>
      <c r="G4" s="10" t="s">
        <v>40</v>
      </c>
      <c r="H4" s="9" t="s">
        <v>50</v>
      </c>
      <c r="I4" s="10" t="s">
        <v>40</v>
      </c>
      <c r="J4" s="9">
        <v>1</v>
      </c>
    </row>
    <row r="5" spans="1:10" ht="48.75" thickBot="1" x14ac:dyDescent="0.3">
      <c r="A5" s="1"/>
      <c r="B5" s="11">
        <f>ROW(B5) - ROW($B$2)</f>
        <v>3</v>
      </c>
      <c r="C5" s="12" t="s">
        <v>3</v>
      </c>
      <c r="D5" s="7" t="s">
        <v>10</v>
      </c>
      <c r="E5" s="8" t="s">
        <v>21</v>
      </c>
      <c r="F5" s="7" t="s">
        <v>32</v>
      </c>
      <c r="G5" s="8" t="s">
        <v>41</v>
      </c>
      <c r="H5" s="7" t="s">
        <v>50</v>
      </c>
      <c r="I5" s="8" t="s">
        <v>41</v>
      </c>
      <c r="J5" s="7">
        <v>12</v>
      </c>
    </row>
    <row r="6" spans="1:10" ht="24.75" thickBot="1" x14ac:dyDescent="0.3">
      <c r="A6" s="1"/>
      <c r="B6" s="11">
        <f t="shared" si="0"/>
        <v>4</v>
      </c>
      <c r="C6" s="13"/>
      <c r="D6" s="9" t="s">
        <v>11</v>
      </c>
      <c r="E6" s="10" t="s">
        <v>22</v>
      </c>
      <c r="F6" s="9" t="s">
        <v>33</v>
      </c>
      <c r="G6" s="10"/>
      <c r="H6" s="9"/>
      <c r="I6" s="10" t="s">
        <v>33</v>
      </c>
      <c r="J6" s="9">
        <v>12</v>
      </c>
    </row>
    <row r="7" spans="1:10" ht="15.75" thickBot="1" x14ac:dyDescent="0.3">
      <c r="A7" s="1"/>
      <c r="B7" s="11">
        <f>ROW(B7) - ROW($B$2)</f>
        <v>5</v>
      </c>
      <c r="C7" s="12" t="s">
        <v>4</v>
      </c>
      <c r="D7" s="7" t="s">
        <v>12</v>
      </c>
      <c r="E7" s="8" t="s">
        <v>23</v>
      </c>
      <c r="F7" s="7" t="s">
        <v>34</v>
      </c>
      <c r="G7" s="8" t="s">
        <v>42</v>
      </c>
      <c r="H7" s="7" t="s">
        <v>49</v>
      </c>
      <c r="I7" s="8" t="s">
        <v>54</v>
      </c>
      <c r="J7" s="7">
        <v>4</v>
      </c>
    </row>
    <row r="8" spans="1:10" ht="15.75" thickBot="1" x14ac:dyDescent="0.3">
      <c r="A8" s="1"/>
      <c r="B8" s="11">
        <f t="shared" si="0"/>
        <v>6</v>
      </c>
      <c r="C8" s="13" t="s">
        <v>5</v>
      </c>
      <c r="D8" s="9" t="s">
        <v>13</v>
      </c>
      <c r="E8" s="10" t="s">
        <v>24</v>
      </c>
      <c r="F8" s="9" t="s">
        <v>35</v>
      </c>
      <c r="G8" s="10" t="s">
        <v>43</v>
      </c>
      <c r="H8" s="9" t="s">
        <v>49</v>
      </c>
      <c r="I8" s="10" t="s">
        <v>55</v>
      </c>
      <c r="J8" s="9">
        <v>3</v>
      </c>
    </row>
    <row r="9" spans="1:10" ht="15.75" thickBot="1" x14ac:dyDescent="0.3">
      <c r="A9" s="1"/>
      <c r="B9" s="11">
        <f>ROW(B9) - ROW($B$2)</f>
        <v>7</v>
      </c>
      <c r="C9" s="13" t="s">
        <v>5</v>
      </c>
      <c r="D9" s="7" t="s">
        <v>14</v>
      </c>
      <c r="E9" s="8" t="s">
        <v>25</v>
      </c>
      <c r="F9" s="7" t="s">
        <v>35</v>
      </c>
      <c r="G9" s="8" t="s">
        <v>44</v>
      </c>
      <c r="H9" s="7" t="s">
        <v>49</v>
      </c>
      <c r="I9" s="8" t="s">
        <v>56</v>
      </c>
      <c r="J9" s="7">
        <v>8</v>
      </c>
    </row>
    <row r="10" spans="1:10" ht="15.75" thickBot="1" x14ac:dyDescent="0.3">
      <c r="A10" s="1"/>
      <c r="B10" s="11">
        <f t="shared" si="0"/>
        <v>8</v>
      </c>
      <c r="C10" s="13" t="s">
        <v>4</v>
      </c>
      <c r="D10" s="9" t="s">
        <v>15</v>
      </c>
      <c r="E10" s="10" t="s">
        <v>26</v>
      </c>
      <c r="F10" s="9" t="s">
        <v>36</v>
      </c>
      <c r="G10" s="10" t="s">
        <v>45</v>
      </c>
      <c r="H10" s="9" t="s">
        <v>49</v>
      </c>
      <c r="I10" s="10" t="s">
        <v>57</v>
      </c>
      <c r="J10" s="9">
        <v>4</v>
      </c>
    </row>
    <row r="11" spans="1:10" ht="24.75" thickBot="1" x14ac:dyDescent="0.3">
      <c r="A11" s="1"/>
      <c r="B11" s="11">
        <f>ROW(B11) - ROW($B$2)</f>
        <v>9</v>
      </c>
      <c r="C11" s="12" t="s">
        <v>5</v>
      </c>
      <c r="D11" s="7" t="s">
        <v>16</v>
      </c>
      <c r="E11" s="8" t="s">
        <v>27</v>
      </c>
      <c r="F11" s="7" t="s">
        <v>35</v>
      </c>
      <c r="G11" s="8" t="s">
        <v>46</v>
      </c>
      <c r="H11" s="7" t="s">
        <v>49</v>
      </c>
      <c r="I11" s="8" t="s">
        <v>58</v>
      </c>
      <c r="J11" s="7">
        <v>12</v>
      </c>
    </row>
    <row r="12" spans="1:10" ht="15.75" thickBot="1" x14ac:dyDescent="0.3">
      <c r="A12" s="1"/>
      <c r="B12" s="11">
        <f t="shared" si="0"/>
        <v>10</v>
      </c>
      <c r="C12" s="13" t="s">
        <v>6</v>
      </c>
      <c r="D12" s="9" t="s">
        <v>17</v>
      </c>
      <c r="E12" s="10" t="s">
        <v>28</v>
      </c>
      <c r="F12" s="9" t="s">
        <v>37</v>
      </c>
      <c r="G12" s="10" t="s">
        <v>47</v>
      </c>
      <c r="H12" s="9" t="s">
        <v>51</v>
      </c>
      <c r="I12" s="10" t="s">
        <v>47</v>
      </c>
      <c r="J12" s="9">
        <v>4</v>
      </c>
    </row>
  </sheetData>
  <mergeCells count="1">
    <mergeCell ref="I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Saba aSim</cp:lastModifiedBy>
  <dcterms:created xsi:type="dcterms:W3CDTF">2019-12-12T10:34:26Z</dcterms:created>
  <dcterms:modified xsi:type="dcterms:W3CDTF">2025-05-01T22:53:43Z</dcterms:modified>
</cp:coreProperties>
</file>